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ponsive Records Log" sheetId="1" state="visible" r:id="rId3"/>
    <sheet name="Summary" sheetId="2" state="visible" r:id="rId4"/>
  </sheets>
  <definedNames>
    <definedName function="false" hidden="false" localSheetId="0" name="_xlnm.Print_Area" vbProcedure="false">'Responsive Records Log'!$A$1:$H$16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<sst xmlns="http://schemas.openxmlformats.org/spreadsheetml/2006/main" count="260" uniqueCount="129">
  <si>
    <t xml:space="preserve">Record ID</t>
  </si>
  <si>
    <t xml:space="preserve">Custodian</t>
  </si>
  <si>
    <t xml:space="preserve">Record Type</t>
  </si>
  <si>
    <t xml:space="preserve">Date</t>
  </si>
  <si>
    <t xml:space="preserve">Description</t>
  </si>
  <si>
    <t xml:space="preserve">Disposition</t>
  </si>
  <si>
    <t xml:space="preserve">Exemption(s) Cited</t>
  </si>
  <si>
    <t xml:space="preserve">Reviewer Notes</t>
  </si>
  <si>
    <t xml:space="preserve">PIA-0147-001</t>
  </si>
  <si>
    <t xml:space="preserve">Renee Alvarez (IT Director)</t>
  </si>
  <si>
    <t xml:space="preserve">Email</t>
  </si>
  <si>
    <t xml:space="preserve">02/03/2026</t>
  </si>
  <si>
    <t xml:space="preserve">Internal alert: unusual encryption activity detected on court records file server</t>
  </si>
  <si>
    <t xml:space="preserve">Released</t>
  </si>
  <si>
    <t xml:space="preserve">N/A</t>
  </si>
  <si>
    <t xml:space="preserve">No exemption applicable</t>
  </si>
  <si>
    <t xml:space="preserve">PIA-0147-002</t>
  </si>
  <si>
    <t xml:space="preserve">Notification to City Manager of suspected ransomware event</t>
  </si>
  <si>
    <t xml:space="preserve">PIA-0147-003</t>
  </si>
  <si>
    <t xml:space="preserve">David Okafor (City Manager)</t>
  </si>
  <si>
    <t xml:space="preserve">02/04/2026</t>
  </si>
  <si>
    <t xml:space="preserve">Executive briefing to City Council on incident status</t>
  </si>
  <si>
    <t xml:space="preserve">PIA-0147-004</t>
  </si>
  <si>
    <t xml:space="preserve">Engagement email to SentinelPoint Response Group (initial scope of work)</t>
  </si>
  <si>
    <t xml:space="preserve">Pricing terms addressed separately, see 011</t>
  </si>
  <si>
    <t xml:space="preserve">PIA-0147-005</t>
  </si>
  <si>
    <t xml:space="preserve">IT Service Desk</t>
  </si>
  <si>
    <t xml:space="preserve">Ticket</t>
  </si>
  <si>
    <t xml:space="preserve">Incident ticket #IT-4471 opened, court records system offline</t>
  </si>
  <si>
    <t xml:space="preserve">PIA-0147-006</t>
  </si>
  <si>
    <t xml:space="preserve">02/05/2026</t>
  </si>
  <si>
    <t xml:space="preserve">Notification to FBI Field Office regarding intrusion</t>
  </si>
  <si>
    <t xml:space="preserve">Withheld</t>
  </si>
  <si>
    <t xml:space="preserve">§552.108</t>
  </si>
  <si>
    <t xml:space="preserve">Law enforcement, active investigation</t>
  </si>
  <si>
    <t xml:space="preserve">PIA-0147-007</t>
  </si>
  <si>
    <t xml:space="preserve">City Attorney's Office</t>
  </si>
  <si>
    <t xml:space="preserve">Legal guidance on breach notification obligations</t>
  </si>
  <si>
    <t xml:space="preserve">§552.107</t>
  </si>
  <si>
    <t xml:space="preserve">Attorney-client privileged communication</t>
  </si>
  <si>
    <t xml:space="preserve">PIA-0147-008</t>
  </si>
  <si>
    <t xml:space="preserve">Text Message</t>
  </si>
  <si>
    <t xml:space="preserve">Status update to City Manager re: containment</t>
  </si>
  <si>
    <t xml:space="preserve">Redacted</t>
  </si>
  <si>
    <t xml:space="preserve">§552.117</t>
  </si>
  <si>
    <t xml:space="preserve">Personal cell number redacted</t>
  </si>
  <si>
    <t xml:space="preserve">PIA-0147-009</t>
  </si>
  <si>
    <t xml:space="preserve">02/06/2026</t>
  </si>
  <si>
    <t xml:space="preserve">Containment status update to SentinelPoint, cc City Attorney</t>
  </si>
  <si>
    <t xml:space="preserve">Legal advice embedded in thread redacted</t>
  </si>
  <si>
    <t xml:space="preserve">PIA-0147-010</t>
  </si>
  <si>
    <t xml:space="preserve">Memo</t>
  </si>
  <si>
    <t xml:space="preserve">Internal memo assessing potential claims from affected residents</t>
  </si>
  <si>
    <t xml:space="preserve">§552.103</t>
  </si>
  <si>
    <t xml:space="preserve">Reasonably anticipated litigation</t>
  </si>
  <si>
    <t xml:space="preserve">PIA-0147-011</t>
  </si>
  <si>
    <t xml:space="preserve">Contract Draft</t>
  </si>
  <si>
    <t xml:space="preserve">02/07/2026</t>
  </si>
  <si>
    <t xml:space="preserve">SentinelPoint incident response engagement, pricing and methodology terms</t>
  </si>
  <si>
    <t xml:space="preserve">§552.110</t>
  </si>
  <si>
    <t xml:space="preserve">Vendor trade secret / commercial information</t>
  </si>
  <si>
    <t xml:space="preserve">PIA-0147-012</t>
  </si>
  <si>
    <t xml:space="preserve">Privileged analysis of statutory notification deadline</t>
  </si>
  <si>
    <t xml:space="preserve">PIA-0147-013</t>
  </si>
  <si>
    <t xml:space="preserve">02/09/2026</t>
  </si>
  <si>
    <t xml:space="preserve">Remediation timeline shared with Municipal Court Clerk</t>
  </si>
  <si>
    <t xml:space="preserve">PIA-0147-014</t>
  </si>
  <si>
    <t xml:space="preserve">02/12/2026</t>
  </si>
  <si>
    <t xml:space="preserve">Containment status to SentinelPoint (sample record for AG submission)</t>
  </si>
  <si>
    <t xml:space="preserve">§552.107; §552.117</t>
  </si>
  <si>
    <t xml:space="preserve">See representative sample enclosure</t>
  </si>
  <si>
    <t xml:space="preserve">PIA-0147-015</t>
  </si>
  <si>
    <t xml:space="preserve">City Council briefing, remediation progress</t>
  </si>
  <si>
    <t xml:space="preserve">PIA-0147-016</t>
  </si>
  <si>
    <t xml:space="preserve">02/13/2026</t>
  </si>
  <si>
    <t xml:space="preserve">FBI follow-up call summary</t>
  </si>
  <si>
    <t xml:space="preserve">PLACEHOLDER_SKIP</t>
  </si>
  <si>
    <t xml:space="preserve">Ticket #IT-4482, credential rotation completed</t>
  </si>
  <si>
    <t xml:space="preserve">PIA-0147-018</t>
  </si>
  <si>
    <t xml:space="preserve">02/14/2026</t>
  </si>
  <si>
    <t xml:space="preserve">SentinelPoint remediation plan (technical methodology)</t>
  </si>
  <si>
    <t xml:space="preserve">Vendor proprietary methodology</t>
  </si>
  <si>
    <t xml:space="preserve">PIA-0147-019</t>
  </si>
  <si>
    <t xml:space="preserve">02/16/2026</t>
  </si>
  <si>
    <t xml:space="preserve">Draft public notification statement, privileged review copy</t>
  </si>
  <si>
    <t xml:space="preserve">PIA-0147-020</t>
  </si>
  <si>
    <t xml:space="preserve">02/17/2026</t>
  </si>
  <si>
    <t xml:space="preserve">Public notification statement, final approved version</t>
  </si>
  <si>
    <t xml:space="preserve">PIA-0147-021</t>
  </si>
  <si>
    <t xml:space="preserve">02/18/2026</t>
  </si>
  <si>
    <t xml:space="preserve">System restoration confirmation to Municipal Court Clerk</t>
  </si>
  <si>
    <t xml:space="preserve">PIA-0147-022</t>
  </si>
  <si>
    <t xml:space="preserve">Personal cell exchange with SentinelPoint lead engineer</t>
  </si>
  <si>
    <t xml:space="preserve">PIA-0147-023</t>
  </si>
  <si>
    <t xml:space="preserve">02/19/2026</t>
  </si>
  <si>
    <t xml:space="preserve">City Council closed-session briefing request re: litigation exposure</t>
  </si>
  <si>
    <t xml:space="preserve">PIA-0147-024</t>
  </si>
  <si>
    <t xml:space="preserve">02/20/2026</t>
  </si>
  <si>
    <t xml:space="preserve">Ticket #IT-4491, post-incident system validation</t>
  </si>
  <si>
    <t xml:space="preserve">PIA-0147-025</t>
  </si>
  <si>
    <t xml:space="preserve">02/21/2026</t>
  </si>
  <si>
    <t xml:space="preserve">SentinelPoint final invoice and cost summary</t>
  </si>
  <si>
    <t xml:space="preserve">Vendor commercial/pricing information</t>
  </si>
  <si>
    <t xml:space="preserve">PIA-0147-026</t>
  </si>
  <si>
    <t xml:space="preserve">02/24/2026</t>
  </si>
  <si>
    <t xml:space="preserve">Privileged memo on residents' potential claims exposure</t>
  </si>
  <si>
    <t xml:space="preserve">§552.103; §552.107</t>
  </si>
  <si>
    <t xml:space="preserve">Anticipated litigation and privileged legal analysis</t>
  </si>
  <si>
    <t xml:space="preserve">PIA-0147-027</t>
  </si>
  <si>
    <t xml:space="preserve">02/25/2026</t>
  </si>
  <si>
    <t xml:space="preserve">City Council update, incident closed</t>
  </si>
  <si>
    <t xml:space="preserve">PIA-0147-028</t>
  </si>
  <si>
    <t xml:space="preserve">02/26/2026</t>
  </si>
  <si>
    <t xml:space="preserve">After-action review invitation to department heads</t>
  </si>
  <si>
    <t xml:space="preserve">PIA-0147-029</t>
  </si>
  <si>
    <t xml:space="preserve">02/28/2026</t>
  </si>
  <si>
    <t xml:space="preserve">After-action report, lessons learned (technical findings)</t>
  </si>
  <si>
    <t xml:space="preserve">PIA-0147-030</t>
  </si>
  <si>
    <t xml:space="preserve">03/02/2026</t>
  </si>
  <si>
    <t xml:space="preserve">FBI case status closeout notification</t>
  </si>
  <si>
    <t xml:space="preserve">Law enforcement, investigation ongoing</t>
  </si>
  <si>
    <t xml:space="preserve">PIA-0147-031</t>
  </si>
  <si>
    <t xml:space="preserve">03/03/2026</t>
  </si>
  <si>
    <t xml:space="preserve">Ticket #IT-4498, incident ticket closed</t>
  </si>
  <si>
    <t xml:space="preserve">Case File No. 2026-PIA-0147, Disposition Summary</t>
  </si>
  <si>
    <t xml:space="preserve">Total Items Located</t>
  </si>
  <si>
    <t xml:space="preserve">Released in Full</t>
  </si>
  <si>
    <t xml:space="preserve">Released with Redactions</t>
  </si>
  <si>
    <t xml:space="preserve">Withheld Pending AG Ruling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</si>
</sst>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C6E0B4"/>
        <bgColor rgb="FFBFBFBF"/>
      </patternFill>
    </fill>
    <fill>
      <patternFill patternType="solid">
        <fgColor rgb="FFF8CBAD"/>
        <bgColor rgb="FFFFE699"/>
      </patternFill>
    </fill>
    <fill>
      <patternFill patternType="solid">
        <fgColor rgb="FFFFE699"/>
        <bgColor rgb="FFF8CBA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11"/>
    <col collapsed="false" customWidth="true" hidden="false" outlineLevel="0" max="5" min="5" style="0" width="42"/>
    <col collapsed="false" customWidth="true" hidden="false" outlineLevel="0" max="6" min="6" style="0" width="12"/>
    <col collapsed="false" customWidth="true" hidden="false" outlineLevel="0" max="7" min="7" style="0" width="18"/>
    <col collapsed="false" customWidth="true" hidden="false" outlineLevel="0" max="8" min="8" style="0" width="30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23.85" hidden="false" customHeight="false" outlineLevel="0" collapsed="false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13</v>
      </c>
      <c r="G2" s="2" t="s">
        <v>14</v>
      </c>
      <c r="H2" s="2" t="s">
        <v>15</v>
      </c>
    </row>
    <row r="3" customFormat="false" ht="23.85" hidden="false" customHeight="false" outlineLevel="0" collapsed="false">
      <c r="A3" s="2" t="s">
        <v>16</v>
      </c>
      <c r="B3" s="2" t="s">
        <v>9</v>
      </c>
      <c r="C3" s="2" t="s">
        <v>10</v>
      </c>
      <c r="D3" s="2" t="s">
        <v>11</v>
      </c>
      <c r="E3" s="2" t="s">
        <v>17</v>
      </c>
      <c r="F3" s="3" t="s">
        <v>13</v>
      </c>
      <c r="G3" s="2" t="s">
        <v>14</v>
      </c>
      <c r="H3" s="2" t="s">
        <v>15</v>
      </c>
    </row>
    <row r="4" customFormat="false" ht="23.85" hidden="false" customHeight="false" outlineLevel="0" collapsed="false">
      <c r="A4" s="2" t="s">
        <v>18</v>
      </c>
      <c r="B4" s="2" t="s">
        <v>19</v>
      </c>
      <c r="C4" s="2" t="s">
        <v>10</v>
      </c>
      <c r="D4" s="2" t="s">
        <v>20</v>
      </c>
      <c r="E4" s="2" t="s">
        <v>21</v>
      </c>
      <c r="F4" s="3" t="s">
        <v>13</v>
      </c>
      <c r="G4" s="2" t="s">
        <v>14</v>
      </c>
      <c r="H4" s="2" t="s">
        <v>15</v>
      </c>
    </row>
    <row r="5" customFormat="false" ht="23.85" hidden="false" customHeight="false" outlineLevel="0" collapsed="false">
      <c r="A5" s="2" t="s">
        <v>22</v>
      </c>
      <c r="B5" s="2" t="s">
        <v>9</v>
      </c>
      <c r="C5" s="2" t="s">
        <v>10</v>
      </c>
      <c r="D5" s="2" t="s">
        <v>20</v>
      </c>
      <c r="E5" s="2" t="s">
        <v>23</v>
      </c>
      <c r="F5" s="3" t="s">
        <v>13</v>
      </c>
      <c r="G5" s="2" t="s">
        <v>14</v>
      </c>
      <c r="H5" s="2" t="s">
        <v>24</v>
      </c>
    </row>
    <row r="6" customFormat="false" ht="23.85" hidden="false" customHeight="false" outlineLevel="0" collapsed="false">
      <c r="A6" s="2" t="s">
        <v>25</v>
      </c>
      <c r="B6" s="2" t="s">
        <v>26</v>
      </c>
      <c r="C6" s="2" t="s">
        <v>27</v>
      </c>
      <c r="D6" s="2" t="s">
        <v>20</v>
      </c>
      <c r="E6" s="2" t="s">
        <v>28</v>
      </c>
      <c r="F6" s="3" t="s">
        <v>13</v>
      </c>
      <c r="G6" s="2" t="s">
        <v>14</v>
      </c>
      <c r="H6" s="2" t="s">
        <v>15</v>
      </c>
    </row>
    <row r="7" customFormat="false" ht="23.85" hidden="false" customHeight="false" outlineLevel="0" collapsed="false">
      <c r="A7" s="2" t="s">
        <v>29</v>
      </c>
      <c r="B7" s="2" t="s">
        <v>9</v>
      </c>
      <c r="C7" s="2" t="s">
        <v>10</v>
      </c>
      <c r="D7" s="2" t="s">
        <v>30</v>
      </c>
      <c r="E7" s="2" t="s">
        <v>31</v>
      </c>
      <c r="F7" s="4" t="s">
        <v>32</v>
      </c>
      <c r="G7" s="2" t="s">
        <v>33</v>
      </c>
      <c r="H7" s="2" t="s">
        <v>34</v>
      </c>
    </row>
    <row r="8" customFormat="false" ht="23.85" hidden="false" customHeight="false" outlineLevel="0" collapsed="false">
      <c r="A8" s="2" t="s">
        <v>35</v>
      </c>
      <c r="B8" s="2" t="s">
        <v>36</v>
      </c>
      <c r="C8" s="2" t="s">
        <v>10</v>
      </c>
      <c r="D8" s="2" t="s">
        <v>30</v>
      </c>
      <c r="E8" s="2" t="s">
        <v>37</v>
      </c>
      <c r="F8" s="4" t="s">
        <v>32</v>
      </c>
      <c r="G8" s="2" t="s">
        <v>38</v>
      </c>
      <c r="H8" s="2" t="s">
        <v>39</v>
      </c>
    </row>
    <row r="9" customFormat="false" ht="23.85" hidden="false" customHeight="false" outlineLevel="0" collapsed="false">
      <c r="A9" s="2" t="s">
        <v>40</v>
      </c>
      <c r="B9" s="2" t="s">
        <v>9</v>
      </c>
      <c r="C9" s="2" t="s">
        <v>41</v>
      </c>
      <c r="D9" s="2" t="s">
        <v>30</v>
      </c>
      <c r="E9" s="2" t="s">
        <v>42</v>
      </c>
      <c r="F9" s="5" t="s">
        <v>43</v>
      </c>
      <c r="G9" s="2" t="s">
        <v>44</v>
      </c>
      <c r="H9" s="2" t="s">
        <v>45</v>
      </c>
    </row>
    <row r="10" customFormat="false" ht="23.85" hidden="false" customHeight="false" outlineLevel="0" collapsed="false">
      <c r="A10" s="2" t="s">
        <v>46</v>
      </c>
      <c r="B10" s="2" t="s">
        <v>9</v>
      </c>
      <c r="C10" s="2" t="s">
        <v>10</v>
      </c>
      <c r="D10" s="2" t="s">
        <v>47</v>
      </c>
      <c r="E10" s="2" t="s">
        <v>48</v>
      </c>
      <c r="F10" s="5" t="s">
        <v>43</v>
      </c>
      <c r="G10" s="2" t="s">
        <v>38</v>
      </c>
      <c r="H10" s="2" t="s">
        <v>49</v>
      </c>
    </row>
    <row r="11" customFormat="false" ht="23.85" hidden="false" customHeight="false" outlineLevel="0" collapsed="false">
      <c r="A11" s="2" t="s">
        <v>50</v>
      </c>
      <c r="B11" s="2" t="s">
        <v>19</v>
      </c>
      <c r="C11" s="2" t="s">
        <v>51</v>
      </c>
      <c r="D11" s="2" t="s">
        <v>47</v>
      </c>
      <c r="E11" s="2" t="s">
        <v>52</v>
      </c>
      <c r="F11" s="4" t="s">
        <v>32</v>
      </c>
      <c r="G11" s="2" t="s">
        <v>53</v>
      </c>
      <c r="H11" s="2" t="s">
        <v>54</v>
      </c>
    </row>
    <row r="12" customFormat="false" ht="23.85" hidden="false" customHeight="false" outlineLevel="0" collapsed="false">
      <c r="A12" s="2" t="s">
        <v>55</v>
      </c>
      <c r="B12" s="2" t="s">
        <v>9</v>
      </c>
      <c r="C12" s="2" t="s">
        <v>56</v>
      </c>
      <c r="D12" s="2" t="s">
        <v>57</v>
      </c>
      <c r="E12" s="2" t="s">
        <v>58</v>
      </c>
      <c r="F12" s="4" t="s">
        <v>32</v>
      </c>
      <c r="G12" s="2" t="s">
        <v>59</v>
      </c>
      <c r="H12" s="2" t="s">
        <v>60</v>
      </c>
    </row>
    <row r="13" customFormat="false" ht="23.85" hidden="false" customHeight="false" outlineLevel="0" collapsed="false">
      <c r="A13" s="2" t="s">
        <v>61</v>
      </c>
      <c r="B13" s="2" t="s">
        <v>36</v>
      </c>
      <c r="C13" s="2" t="s">
        <v>10</v>
      </c>
      <c r="D13" s="2" t="s">
        <v>57</v>
      </c>
      <c r="E13" s="2" t="s">
        <v>62</v>
      </c>
      <c r="F13" s="4" t="s">
        <v>32</v>
      </c>
      <c r="G13" s="2" t="s">
        <v>38</v>
      </c>
      <c r="H13" s="2" t="s">
        <v>39</v>
      </c>
    </row>
    <row r="14" customFormat="false" ht="23.85" hidden="false" customHeight="false" outlineLevel="0" collapsed="false">
      <c r="A14" s="2" t="s">
        <v>63</v>
      </c>
      <c r="B14" s="2" t="s">
        <v>9</v>
      </c>
      <c r="C14" s="2" t="s">
        <v>10</v>
      </c>
      <c r="D14" s="2" t="s">
        <v>64</v>
      </c>
      <c r="E14" s="2" t="s">
        <v>65</v>
      </c>
      <c r="F14" s="3" t="s">
        <v>13</v>
      </c>
      <c r="G14" s="2" t="s">
        <v>14</v>
      </c>
      <c r="H14" s="2" t="s">
        <v>15</v>
      </c>
    </row>
    <row r="15" customFormat="false" ht="23.85" hidden="false" customHeight="false" outlineLevel="0" collapsed="false">
      <c r="A15" s="2" t="s">
        <v>66</v>
      </c>
      <c r="B15" s="2" t="s">
        <v>9</v>
      </c>
      <c r="C15" s="2" t="s">
        <v>10</v>
      </c>
      <c r="D15" s="2" t="s">
        <v>67</v>
      </c>
      <c r="E15" s="2" t="s">
        <v>68</v>
      </c>
      <c r="F15" s="5" t="s">
        <v>43</v>
      </c>
      <c r="G15" s="2" t="s">
        <v>69</v>
      </c>
      <c r="H15" s="2" t="s">
        <v>70</v>
      </c>
    </row>
    <row r="16" customFormat="false" ht="23.85" hidden="false" customHeight="false" outlineLevel="0" collapsed="false">
      <c r="A16" s="2" t="s">
        <v>71</v>
      </c>
      <c r="B16" s="2" t="s">
        <v>19</v>
      </c>
      <c r="C16" s="2" t="s">
        <v>10</v>
      </c>
      <c r="D16" s="2" t="s">
        <v>67</v>
      </c>
      <c r="E16" s="2" t="s">
        <v>72</v>
      </c>
      <c r="F16" s="3" t="s">
        <v>13</v>
      </c>
      <c r="G16" s="2" t="s">
        <v>14</v>
      </c>
      <c r="H16" s="2" t="s">
        <v>15</v>
      </c>
    </row>
    <row r="17" customFormat="false" ht="23.85" hidden="false" customHeight="false" outlineLevel="0" collapsed="false">
      <c r="A17" s="2" t="s">
        <v>73</v>
      </c>
      <c r="B17" s="2" t="s">
        <v>9</v>
      </c>
      <c r="C17" s="2" t="s">
        <v>10</v>
      </c>
      <c r="D17" s="2" t="s">
        <v>74</v>
      </c>
      <c r="E17" s="2" t="s">
        <v>75</v>
      </c>
      <c r="F17" s="4" t="s">
        <v>32</v>
      </c>
      <c r="G17" s="2" t="s">
        <v>33</v>
      </c>
      <c r="H17" s="2" t="s">
        <v>76</v>
      </c>
      <c r="I17" s="6" t="s">
        <v>26</v>
      </c>
      <c r="J17" s="6" t="s">
        <v>27</v>
      </c>
      <c r="K17" s="6" t="s">
        <v>74</v>
      </c>
      <c r="L17" s="6" t="s">
        <v>77</v>
      </c>
      <c r="M17" s="6" t="s">
        <v>13</v>
      </c>
      <c r="N17" s="6" t="s">
        <v>14</v>
      </c>
      <c r="O17" s="6" t="s">
        <v>15</v>
      </c>
    </row>
    <row r="18" customFormat="false" ht="23.85" hidden="false" customHeight="false" outlineLevel="0" collapsed="false">
      <c r="A18" s="2" t="s">
        <v>78</v>
      </c>
      <c r="B18" s="2" t="s">
        <v>9</v>
      </c>
      <c r="C18" s="2" t="s">
        <v>10</v>
      </c>
      <c r="D18" s="2" t="s">
        <v>79</v>
      </c>
      <c r="E18" s="2" t="s">
        <v>80</v>
      </c>
      <c r="F18" s="4" t="s">
        <v>32</v>
      </c>
      <c r="G18" s="2" t="s">
        <v>59</v>
      </c>
      <c r="H18" s="2" t="s">
        <v>81</v>
      </c>
    </row>
    <row r="19" customFormat="false" ht="23.85" hidden="false" customHeight="false" outlineLevel="0" collapsed="false">
      <c r="A19" s="2" t="s">
        <v>82</v>
      </c>
      <c r="B19" s="2" t="s">
        <v>36</v>
      </c>
      <c r="C19" s="2" t="s">
        <v>10</v>
      </c>
      <c r="D19" s="2" t="s">
        <v>83</v>
      </c>
      <c r="E19" s="2" t="s">
        <v>84</v>
      </c>
      <c r="F19" s="4" t="s">
        <v>32</v>
      </c>
      <c r="G19" s="2" t="s">
        <v>38</v>
      </c>
      <c r="H19" s="2" t="s">
        <v>39</v>
      </c>
    </row>
    <row r="20" customFormat="false" ht="23.85" hidden="false" customHeight="false" outlineLevel="0" collapsed="false">
      <c r="A20" s="2" t="s">
        <v>85</v>
      </c>
      <c r="B20" s="2" t="s">
        <v>19</v>
      </c>
      <c r="C20" s="2" t="s">
        <v>51</v>
      </c>
      <c r="D20" s="2" t="s">
        <v>86</v>
      </c>
      <c r="E20" s="2" t="s">
        <v>87</v>
      </c>
      <c r="F20" s="3" t="s">
        <v>13</v>
      </c>
      <c r="G20" s="2" t="s">
        <v>14</v>
      </c>
      <c r="H20" s="2" t="s">
        <v>15</v>
      </c>
    </row>
    <row r="21" customFormat="false" ht="23.85" hidden="false" customHeight="false" outlineLevel="0" collapsed="false">
      <c r="A21" s="2" t="s">
        <v>88</v>
      </c>
      <c r="B21" s="2" t="s">
        <v>9</v>
      </c>
      <c r="C21" s="2" t="s">
        <v>10</v>
      </c>
      <c r="D21" s="2" t="s">
        <v>89</v>
      </c>
      <c r="E21" s="2" t="s">
        <v>90</v>
      </c>
      <c r="F21" s="3" t="s">
        <v>13</v>
      </c>
      <c r="G21" s="2" t="s">
        <v>14</v>
      </c>
      <c r="H21" s="2" t="s">
        <v>15</v>
      </c>
    </row>
    <row r="22" customFormat="false" ht="23.85" hidden="false" customHeight="false" outlineLevel="0" collapsed="false">
      <c r="A22" s="2" t="s">
        <v>91</v>
      </c>
      <c r="B22" s="2" t="s">
        <v>9</v>
      </c>
      <c r="C22" s="2" t="s">
        <v>41</v>
      </c>
      <c r="D22" s="2" t="s">
        <v>89</v>
      </c>
      <c r="E22" s="2" t="s">
        <v>92</v>
      </c>
      <c r="F22" s="5" t="s">
        <v>43</v>
      </c>
      <c r="G22" s="2" t="s">
        <v>44</v>
      </c>
      <c r="H22" s="2" t="s">
        <v>45</v>
      </c>
    </row>
    <row r="23" customFormat="false" ht="23.85" hidden="false" customHeight="false" outlineLevel="0" collapsed="false">
      <c r="A23" s="2" t="s">
        <v>93</v>
      </c>
      <c r="B23" s="2" t="s">
        <v>19</v>
      </c>
      <c r="C23" s="2" t="s">
        <v>10</v>
      </c>
      <c r="D23" s="2" t="s">
        <v>94</v>
      </c>
      <c r="E23" s="2" t="s">
        <v>95</v>
      </c>
      <c r="F23" s="4" t="s">
        <v>32</v>
      </c>
      <c r="G23" s="2" t="s">
        <v>53</v>
      </c>
      <c r="H23" s="2" t="s">
        <v>54</v>
      </c>
    </row>
    <row r="24" customFormat="false" ht="15" hidden="false" customHeight="false" outlineLevel="0" collapsed="false">
      <c r="A24" s="2" t="s">
        <v>96</v>
      </c>
      <c r="B24" s="2" t="s">
        <v>26</v>
      </c>
      <c r="C24" s="2" t="s">
        <v>27</v>
      </c>
      <c r="D24" s="2" t="s">
        <v>97</v>
      </c>
      <c r="E24" s="2" t="s">
        <v>98</v>
      </c>
      <c r="F24" s="3" t="s">
        <v>13</v>
      </c>
      <c r="G24" s="2" t="s">
        <v>14</v>
      </c>
      <c r="H24" s="2" t="s">
        <v>15</v>
      </c>
    </row>
    <row r="25" customFormat="false" ht="23.85" hidden="false" customHeight="false" outlineLevel="0" collapsed="false">
      <c r="A25" s="2" t="s">
        <v>99</v>
      </c>
      <c r="B25" s="2" t="s">
        <v>9</v>
      </c>
      <c r="C25" s="2" t="s">
        <v>10</v>
      </c>
      <c r="D25" s="2" t="s">
        <v>100</v>
      </c>
      <c r="E25" s="2" t="s">
        <v>101</v>
      </c>
      <c r="F25" s="4" t="s">
        <v>32</v>
      </c>
      <c r="G25" s="2" t="s">
        <v>59</v>
      </c>
      <c r="H25" s="2" t="s">
        <v>102</v>
      </c>
    </row>
    <row r="26" customFormat="false" ht="23.85" hidden="false" customHeight="false" outlineLevel="0" collapsed="false">
      <c r="A26" s="2" t="s">
        <v>103</v>
      </c>
      <c r="B26" s="2" t="s">
        <v>36</v>
      </c>
      <c r="C26" s="2" t="s">
        <v>10</v>
      </c>
      <c r="D26" s="2" t="s">
        <v>104</v>
      </c>
      <c r="E26" s="2" t="s">
        <v>105</v>
      </c>
      <c r="F26" s="4" t="s">
        <v>32</v>
      </c>
      <c r="G26" s="2" t="s">
        <v>106</v>
      </c>
      <c r="H26" s="2" t="s">
        <v>107</v>
      </c>
    </row>
    <row r="27" customFormat="false" ht="23.85" hidden="false" customHeight="false" outlineLevel="0" collapsed="false">
      <c r="A27" s="2" t="s">
        <v>108</v>
      </c>
      <c r="B27" s="2" t="s">
        <v>19</v>
      </c>
      <c r="C27" s="2" t="s">
        <v>10</v>
      </c>
      <c r="D27" s="2" t="s">
        <v>109</v>
      </c>
      <c r="E27" s="2" t="s">
        <v>110</v>
      </c>
      <c r="F27" s="3" t="s">
        <v>13</v>
      </c>
      <c r="G27" s="2" t="s">
        <v>14</v>
      </c>
      <c r="H27" s="2" t="s">
        <v>15</v>
      </c>
    </row>
    <row r="28" customFormat="false" ht="23.85" hidden="false" customHeight="false" outlineLevel="0" collapsed="false">
      <c r="A28" s="2" t="s">
        <v>111</v>
      </c>
      <c r="B28" s="2" t="s">
        <v>9</v>
      </c>
      <c r="C28" s="2" t="s">
        <v>10</v>
      </c>
      <c r="D28" s="2" t="s">
        <v>112</v>
      </c>
      <c r="E28" s="2" t="s">
        <v>113</v>
      </c>
      <c r="F28" s="3" t="s">
        <v>13</v>
      </c>
      <c r="G28" s="2" t="s">
        <v>14</v>
      </c>
      <c r="H28" s="2" t="s">
        <v>15</v>
      </c>
    </row>
    <row r="29" customFormat="false" ht="23.85" hidden="false" customHeight="false" outlineLevel="0" collapsed="false">
      <c r="A29" s="2" t="s">
        <v>114</v>
      </c>
      <c r="B29" s="2" t="s">
        <v>9</v>
      </c>
      <c r="C29" s="2" t="s">
        <v>51</v>
      </c>
      <c r="D29" s="2" t="s">
        <v>115</v>
      </c>
      <c r="E29" s="2" t="s">
        <v>116</v>
      </c>
      <c r="F29" s="3" t="s">
        <v>13</v>
      </c>
      <c r="G29" s="2" t="s">
        <v>14</v>
      </c>
      <c r="H29" s="2" t="s">
        <v>15</v>
      </c>
    </row>
    <row r="30" customFormat="false" ht="23.85" hidden="false" customHeight="false" outlineLevel="0" collapsed="false">
      <c r="A30" s="2" t="s">
        <v>117</v>
      </c>
      <c r="B30" s="2" t="s">
        <v>9</v>
      </c>
      <c r="C30" s="2" t="s">
        <v>10</v>
      </c>
      <c r="D30" s="2" t="s">
        <v>118</v>
      </c>
      <c r="E30" s="2" t="s">
        <v>119</v>
      </c>
      <c r="F30" s="4" t="s">
        <v>32</v>
      </c>
      <c r="G30" s="2" t="s">
        <v>33</v>
      </c>
      <c r="H30" s="2" t="s">
        <v>120</v>
      </c>
    </row>
    <row r="31" customFormat="false" ht="15" hidden="false" customHeight="false" outlineLevel="0" collapsed="false">
      <c r="A31" s="2" t="s">
        <v>121</v>
      </c>
      <c r="B31" s="2" t="s">
        <v>26</v>
      </c>
      <c r="C31" s="2" t="s">
        <v>27</v>
      </c>
      <c r="D31" s="2" t="s">
        <v>122</v>
      </c>
      <c r="E31" s="2" t="s">
        <v>123</v>
      </c>
      <c r="F31" s="3" t="s">
        <v>13</v>
      </c>
      <c r="G31" s="2" t="s">
        <v>14</v>
      </c>
      <c r="H31" s="2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2"/>
  </cols>
  <sheetData>
    <row r="1" customFormat="false" ht="17.35" hidden="false" customHeight="false" outlineLevel="0" collapsed="false">
      <c r="A1" s="7" t="s">
        <v>124</v>
      </c>
    </row>
    <row r="3" customFormat="false" ht="15" hidden="false" customHeight="false" outlineLevel="0" collapsed="false">
      <c r="A3" s="8" t="s">
        <v>125</v>
      </c>
      <c r="B3" s="9" t="n">
        <f aca="false">COUNTA('Responsive Records Log'!A2:A32)</f>
        <v>30</v>
      </c>
    </row>
    <row r="4" customFormat="false" ht="15" hidden="false" customHeight="false" outlineLevel="0" collapsed="false">
      <c r="A4" s="8" t="s">
        <v>126</v>
      </c>
      <c r="B4" s="9" t="n">
        <f aca="false">COUNTIF('Responsive Records Log'!F2:F32,"Released")</f>
        <v>14</v>
      </c>
    </row>
    <row r="5" customFormat="false" ht="15" hidden="false" customHeight="false" outlineLevel="0" collapsed="false">
      <c r="A5" s="8" t="s">
        <v>127</v>
      </c>
      <c r="B5" s="9" t="n">
        <f aca="false">COUNTIF('Responsive Records Log'!F2:F32,"Redacted")</f>
        <v>4</v>
      </c>
    </row>
    <row r="6" customFormat="false" ht="15" hidden="false" customHeight="false" outlineLevel="0" collapsed="false">
      <c r="A6" s="8" t="s">
        <v>128</v>
      </c>
      <c r="B6" s="9" t="n">
        <f aca="false">COUNTIF('Responsive Records Log'!F2:F32,"Withheld")</f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2026-08-24T19:51:11Z</dcterms:created>
  <dc:creator>openpyxl</dc:creator>
  <dc:description/>
  <dc:language>en-US</dc:language>
  <cp:lastModifiedBy/>
  <dcterms:modified xsi:type="dcterms:W3CDTF">2026-08-24T19:51:11Z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